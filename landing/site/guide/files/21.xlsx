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結果サマリー" sheetId="1" state="visible" r:id="rId3"/>
    <sheet name="5記事の記録" sheetId="2" state="visible" r:id="rId4"/>
    <sheet name="測り方" sheetId="3" state="visible" r:id="rId5"/>
  </sheets>
  <definedNames>
    <definedName function="false" hidden="true" localSheetId="1" name="_xlnm._FilterDatabase" vbProcedure="false">'5記事の記録'!$A$1:$N$6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<sst xmlns="http://schemas.openxmlformats.org/spreadsheetml/2006/main" count="64" uniqueCount="64">
  <si>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ANGLE Review｜5記事の試行結果</t>
  </si>
  <si>
    <t xml:space="preserve">実績未入力</t>
  </si>
  <si>
    <t xml:space="preserve">同じ記事種別・分量・取材条件で比較する。</t>
  </si>
  <si>
    <t xml:space="preserve">目標は効果の実績と分ける。</t>
  </si>
  <si>
    <t xml:space="preserve">項目</t>
  </si>
  <si>
    <t xml:space="preserve">実測結果</t>
  </si>
  <si>
    <t xml:space="preserve">試行目標・読み方</t>
  </si>
  <si>
    <t xml:space="preserve">比較できる記事数</t>
  </si>
  <si>
    <t xml:space="preserve">5本</t>
  </si>
  <si>
    <t xml:space="preserve">導入前の平均時間_分</t>
  </si>
  <si>
    <t xml:space="preserve">現状を記録</t>
  </si>
  <si>
    <t xml:space="preserve">導入後の平均時間_分</t>
  </si>
  <si>
    <t xml:space="preserve">20分／本を目指す</t>
  </si>
  <si>
    <t xml:space="preserve">1本の削減時間_分</t>
  </si>
  <si>
    <t xml:space="preserve">短縮と品質を一緒に見る</t>
  </si>
  <si>
    <t xml:space="preserve">月40本の時間換算_時間</t>
  </si>
  <si>
    <t xml:space="preserve">本数を仮定した換算。実績ではない</t>
  </si>
  <si>
    <t xml:space="preserve">重大な未修正指摘_入力分合計</t>
  </si>
  <si>
    <t xml:space="preserve">公開前に0件を目指す。未知の誤りゼロを保証しない</t>
  </si>
  <si>
    <t xml:space="preserve">AI利用料_入力分合計円</t>
  </si>
  <si>
    <t xml:space="preserve">利用時の金額・通貨を確認し円で記録</t>
  </si>
  <si>
    <t xml:space="preserve">追加運用時間_入力分合計分</t>
  </si>
  <si>
    <t xml:space="preserve">準備・設定・復旧の時間も含める</t>
  </si>
  <si>
    <t xml:space="preserve">継続するかの判断</t>
  </si>
  <si>
    <t xml:space="preserve">時間短縮、品質、負担、費用から判断する</t>
  </si>
  <si>
    <t xml:space="preserve">記事ID</t>
  </si>
  <si>
    <t xml:space="preserve">記事種別・条件</t>
  </si>
  <si>
    <t xml:space="preserve">導入前_分</t>
  </si>
  <si>
    <t xml:space="preserve">導入後_分</t>
  </si>
  <si>
    <t xml:space="preserve">前_往復</t>
  </si>
  <si>
    <t xml:space="preserve">後_往復</t>
  </si>
  <si>
    <t xml:space="preserve">重大な未修正指摘_件</t>
  </si>
  <si>
    <t xml:space="preserve">不要な指摘_件</t>
  </si>
  <si>
    <t xml:space="preserve">数字条件の欠落_件</t>
  </si>
  <si>
    <t xml:space="preserve">AI利用料_円</t>
  </si>
  <si>
    <t xml:space="preserve">追加運用_分</t>
  </si>
  <si>
    <t xml:space="preserve">担当者</t>
  </si>
  <si>
    <t xml:space="preserve">比較対象ID</t>
  </si>
  <si>
    <t xml:space="preserve">気づき</t>
  </si>
  <si>
    <t xml:space="preserve">試行1</t>
  </si>
  <si>
    <t xml:space="preserve">試行2</t>
  </si>
  <si>
    <t xml:space="preserve">試行3</t>
  </si>
  <si>
    <t xml:space="preserve">試行4</t>
  </si>
  <si>
    <t xml:space="preserve">試行5</t>
  </si>
  <si>
    <t xml:space="preserve">時間</t>
  </si>
  <si>
    <t xml:space="preserve">初稿受領から原稿修正・校正の完了まで。待ち時間と人の作業時間を同じ条件で区別して記録。</t>
  </si>
  <si>
    <t xml:space="preserve">比較</t>
  </si>
  <si>
    <t xml:space="preserve">同じ媒体・種別・分量・資料条件。過去記事と比較する場合も比較対象IDを記録。</t>
  </si>
  <si>
    <t xml:space="preserve">往復</t>
  </si>
  <si>
    <t xml:space="preserve">確認・差し戻し・修正・再確認で一往復。同じ数え方を導入前後で使う。</t>
  </si>
  <si>
    <t xml:space="preserve">重大な指摘</t>
  </si>
  <si>
    <t xml:space="preserve">数字・発言・対象・条件の誤り、掲載許諾など。開始前に評価者と定義を決める。</t>
  </si>
  <si>
    <t xml:space="preserve">不要な指摘</t>
  </si>
  <si>
    <t xml:space="preserve">正しい箇所、好みだけの変更、根拠のない指摘。評価者が判定する。</t>
  </si>
  <si>
    <t xml:space="preserve">利用費</t>
  </si>
  <si>
    <t xml:space="preserve">AI費用、追加の運用工数を記録。時間の価値と実際の支出削減は区別する。</t>
  </si>
  <si>
    <t xml:space="preserve">未入力</t>
  </si>
  <si>
    <t xml:space="preserve">実測していない値は空欄。実測ゼロの場合だけ0を入力。</t>
  </si>
  <si>
    <t xml:space="preserve">同じ対象</t>
  </si>
  <si>
    <t xml:space="preserve">サマリーの時間は導入前後の両方が数値入力された記事だけで計算。</t>
  </si>
  <si>
    <t xml:space="preserve">公開</t>
  </si>
  <si>
    <t xml:space="preserve">実案件の公開は既存の承認・許諾手順を守る。</t>
  </si>
  <si>
    <t xml:space="preserve">運用</t>
  </si>
  <si>
    <t xml:space="preserve">自動計測・アクセス解析の自動取得は行わない。担当者が計測・入力する。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</si>
</sst>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JP"/>
      <family val="0"/>
      <charset val="1"/>
    </font>
    <font>
      <sz val="10"/>
      <color rgb="FF22365E"/>
      <name val="Noto Sans CJK JP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2365E"/>
        <bgColor rgb="FF003366"/>
      </patternFill>
    </fill>
    <fill>
      <patternFill patternType="solid">
        <fgColor rgb="FFFFFFFF"/>
        <bgColor rgb="FFF8F3F7"/>
      </patternFill>
    </fill>
    <fill>
      <patternFill patternType="solid">
        <fgColor rgb="FFF8F3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2365E"/>
          <bgColor rgb="FF000000"/>
        </patternFill>
      </fill>
    </dxf>
    <dxf>
      <fill>
        <patternFill patternType="solid">
          <fgColor rgb="FFF8F3F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3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6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28"/>
    <col collapsed="false" customWidth="true" hidden="false" outlineLevel="0" max="3" min="3" style="0" width="65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/>
    </row>
    <row r="2" customFormat="false" ht="29.85" hidden="false" customHeight="false" outlineLevel="0" collapsed="false">
      <c r="A2" s="2" t="s">
        <v>2</v>
      </c>
      <c r="B2" s="2" t="s">
        <v>3</v>
      </c>
      <c r="C2" s="2"/>
    </row>
    <row r="3" customFormat="false" ht="15" hidden="false" customHeight="false" outlineLevel="0" collapsed="false">
      <c r="A3" s="3" t="s">
        <v>4</v>
      </c>
      <c r="B3" s="3" t="s">
        <v>5</v>
      </c>
      <c r="C3" s="3" t="s">
        <v>6</v>
      </c>
    </row>
    <row r="4" customFormat="false" ht="15" hidden="false" customHeight="false" outlineLevel="0" collapsed="false">
      <c r="A4" s="2" t="s">
        <v>7</v>
      </c>
      <c r="B4" s="2" t="n">
        <f aca="false">SUMPRODUCT(--ISNUMBER('5記事の記録'!C2:C6),--ISNUMBER('5記事の記録'!D2:D6))</f>
        <v>0</v>
      </c>
      <c r="C4" s="2" t="s">
        <v>8</v>
      </c>
    </row>
    <row r="5" customFormat="false" ht="15" hidden="false" customHeight="false" outlineLevel="0" collapsed="false">
      <c r="A5" s="3" t="s">
        <v>9</v>
      </c>
      <c r="B5" s="3" t="str">
        <f aca="false">IF(B4=0,"未計測",SUMPRODUCT(ISNUMBER('5記事の記録'!C2:C6)*ISNUMBER('5記事の記録'!D2:D6),'5記事の記録'!C2:C6)/B4)</f>
        <v>未計測</v>
      </c>
      <c r="C5" s="3" t="s">
        <v>10</v>
      </c>
    </row>
    <row r="6" customFormat="false" ht="15" hidden="false" customHeight="false" outlineLevel="0" collapsed="false">
      <c r="A6" s="2" t="s">
        <v>11</v>
      </c>
      <c r="B6" s="2" t="str">
        <f aca="false">IF(B4=0,"未計測",SUMPRODUCT(ISNUMBER('5記事の記録'!C2:C6)*ISNUMBER('5記事の記録'!D2:D6),'5記事の記録'!D2:D6)/B4)</f>
        <v>未計測</v>
      </c>
      <c r="C6" s="2" t="s">
        <v>12</v>
      </c>
    </row>
    <row r="7" customFormat="false" ht="15" hidden="false" customHeight="false" outlineLevel="0" collapsed="false">
      <c r="A7" s="3" t="s">
        <v>13</v>
      </c>
      <c r="B7" s="3" t="str">
        <f aca="false">IF(B4=0,"未計測",B5-B6)</f>
        <v>未計測</v>
      </c>
      <c r="C7" s="3" t="s">
        <v>14</v>
      </c>
    </row>
    <row r="8" customFormat="false" ht="15" hidden="false" customHeight="false" outlineLevel="0" collapsed="false">
      <c r="A8" s="2" t="s">
        <v>15</v>
      </c>
      <c r="B8" s="2" t="str">
        <f aca="false">IF(B4=0,"未計測",B7*40/60)</f>
        <v>未計測</v>
      </c>
      <c r="C8" s="2" t="s">
        <v>16</v>
      </c>
    </row>
    <row r="9" customFormat="false" ht="15" hidden="false" customHeight="false" outlineLevel="0" collapsed="false">
      <c r="A9" s="3" t="s">
        <v>17</v>
      </c>
      <c r="B9" s="3" t="str">
        <f aca="false">IF(COUNT('5記事の記録'!G2:G6)=0,"未計測",SUM('5記事の記録'!G2:G6))</f>
        <v>未計測</v>
      </c>
      <c r="C9" s="3" t="s">
        <v>18</v>
      </c>
    </row>
    <row r="10" customFormat="false" ht="15" hidden="false" customHeight="false" outlineLevel="0" collapsed="false">
      <c r="A10" s="2" t="s">
        <v>19</v>
      </c>
      <c r="B10" s="2" t="str">
        <f aca="false">IF(COUNT('5記事の記録'!J2:J6)=0,"未計測",SUM('5記事の記録'!J2:J6))</f>
        <v>未計測</v>
      </c>
      <c r="C10" s="2" t="s">
        <v>20</v>
      </c>
    </row>
    <row r="11" customFormat="false" ht="15" hidden="false" customHeight="false" outlineLevel="0" collapsed="false">
      <c r="A11" s="3" t="s">
        <v>21</v>
      </c>
      <c r="B11" s="3" t="str">
        <f aca="false">IF(COUNT('5記事の記録'!K2:K6)=0,"未計測",SUM('5記事の記録'!K2:K6))</f>
        <v>未計測</v>
      </c>
      <c r="C11" s="3" t="s">
        <v>22</v>
      </c>
    </row>
    <row r="12" customFormat="false" ht="15" hidden="false" customHeight="false" outlineLevel="0" collapsed="false">
      <c r="A12" s="2" t="s">
        <v>23</v>
      </c>
      <c r="B12" s="2"/>
      <c r="C12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4" min="1" style="0" width="22"/>
  </cols>
  <sheetData>
    <row r="1" customFormat="false" ht="17.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customFormat="false" ht="48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8" hidden="false" customHeight="true" outlineLevel="0" collapsed="false">
      <c r="A3" s="3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48" hidden="false" customHeight="true" outlineLevel="0" collapsed="false">
      <c r="A4" s="2" t="s">
        <v>41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48" hidden="false" customHeight="true" outlineLevel="0" collapsed="false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48" hidden="false" customHeight="true" outlineLevel="0" collapsed="false">
      <c r="A6" s="2" t="s">
        <v>43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autoFilter ref="A1:N6"/>
  <dataValidations count="9">
    <dataValidation allowBlank="true" error="実測した0以上の数値を入力してください。" errorStyle="stop" errorTitle="0以上の数値" operator="greaterThanOrEqual" showDropDown="false" showErrorMessage="true" showInputMessage="false" sqref="C2:C6" type="decimal">
      <formula1>0</formula1>
      <formula2>0</formula2>
    </dataValidation>
    <dataValidation allowBlank="true" error="実測した0以上の数値を入力してください。" errorStyle="stop" errorTitle="0以上の数値" operator="greaterThanOrEqual" showDropDown="false" showErrorMessage="true" showInputMessage="false" sqref="D2:D6" type="decimal">
      <formula1>0</formula1>
      <formula2>0</formula2>
    </dataValidation>
    <dataValidation allowBlank="true" error="実測した0以上の数値を入力してください。" errorStyle="stop" errorTitle="0以上の数値" operator="greaterThanOrEqual" showDropDown="false" showErrorMessage="true" showInputMessage="false" sqref="E2:E6" type="decimal">
      <formula1>0</formula1>
      <formula2>0</formula2>
    </dataValidation>
    <dataValidation allowBlank="true" error="実測した0以上の数値を入力してください。" errorStyle="stop" errorTitle="0以上の数値" operator="greaterThanOrEqual" showDropDown="false" showErrorMessage="true" showInputMessage="false" sqref="F2:F6" type="decimal">
      <formula1>0</formula1>
      <formula2>0</formula2>
    </dataValidation>
    <dataValidation allowBlank="true" error="実測した0以上の数値を入力してください。" errorStyle="stop" errorTitle="0以上の数値" operator="greaterThanOrEqual" showDropDown="false" showErrorMessage="true" showInputMessage="false" sqref="G2:G6" type="decimal">
      <formula1>0</formula1>
      <formula2>0</formula2>
    </dataValidation>
    <dataValidation allowBlank="true" error="実測した0以上の数値を入力してください。" errorStyle="stop" errorTitle="0以上の数値" operator="greaterThanOrEqual" showDropDown="false" showErrorMessage="true" showInputMessage="false" sqref="H2:H6" type="decimal">
      <formula1>0</formula1>
      <formula2>0</formula2>
    </dataValidation>
    <dataValidation allowBlank="true" error="実測した0以上の数値を入力してください。" errorStyle="stop" errorTitle="0以上の数値" operator="greaterThanOrEqual" showDropDown="false" showErrorMessage="true" showInputMessage="false" sqref="I2:I6" type="decimal">
      <formula1>0</formula1>
      <formula2>0</formula2>
    </dataValidation>
    <dataValidation allowBlank="true" error="実測した0以上の数値を入力してください。" errorStyle="stop" errorTitle="0以上の数値" operator="greaterThanOrEqual" showDropDown="false" showErrorMessage="true" showInputMessage="false" sqref="J2:J6" type="decimal">
      <formula1>0</formula1>
      <formula2>0</formula2>
    </dataValidation>
    <dataValidation allowBlank="true" error="実測した0以上の数値を入力してください。" errorStyle="stop" errorTitle="0以上の数値" operator="greaterThanOrEqual" showDropDown="false" showErrorMessage="true" showInputMessage="false" sqref="K2:K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" t="s">
        <v>44</v>
      </c>
      <c r="B1" s="1" t="s">
        <v>45</v>
      </c>
    </row>
    <row r="2" customFormat="false" ht="15" hidden="false" customHeight="false" outlineLevel="0" collapsed="false">
      <c r="A2" s="2" t="s">
        <v>46</v>
      </c>
      <c r="B2" s="2" t="s">
        <v>47</v>
      </c>
    </row>
    <row r="3" customFormat="false" ht="15" hidden="false" customHeight="false" outlineLevel="0" collapsed="false">
      <c r="A3" s="3" t="s">
        <v>48</v>
      </c>
      <c r="B3" s="3" t="s">
        <v>49</v>
      </c>
    </row>
    <row r="4" customFormat="false" ht="15" hidden="false" customHeight="false" outlineLevel="0" collapsed="false">
      <c r="A4" s="2" t="s">
        <v>50</v>
      </c>
      <c r="B4" s="2" t="s">
        <v>51</v>
      </c>
    </row>
    <row r="5" customFormat="false" ht="15" hidden="false" customHeight="false" outlineLevel="0" collapsed="false">
      <c r="A5" s="3" t="s">
        <v>52</v>
      </c>
      <c r="B5" s="3" t="s">
        <v>53</v>
      </c>
    </row>
    <row r="6" customFormat="false" ht="15" hidden="false" customHeight="false" outlineLevel="0" collapsed="false">
      <c r="A6" s="2" t="s">
        <v>54</v>
      </c>
      <c r="B6" s="2" t="s">
        <v>55</v>
      </c>
    </row>
    <row r="7" customFormat="false" ht="15" hidden="false" customHeight="false" outlineLevel="0" collapsed="false">
      <c r="A7" s="3" t="s">
        <v>56</v>
      </c>
      <c r="B7" s="3" t="s">
        <v>57</v>
      </c>
    </row>
    <row r="8" customFormat="false" ht="15" hidden="false" customHeight="false" outlineLevel="0" collapsed="false">
      <c r="A8" s="2" t="s">
        <v>58</v>
      </c>
      <c r="B8" s="2" t="s">
        <v>59</v>
      </c>
    </row>
    <row r="9" customFormat="false" ht="15" hidden="false" customHeight="false" outlineLevel="0" collapsed="false">
      <c r="A9" s="3" t="s">
        <v>60</v>
      </c>
      <c r="B9" s="3" t="s">
        <v>61</v>
      </c>
    </row>
    <row r="10" customFormat="false" ht="15" hidden="false" customHeight="false" outlineLevel="0" collapsed="false">
      <c r="A10" s="2" t="s">
        <v>62</v>
      </c>
      <c r="B10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2026-10-04T14:54:37Z</dcterms:created>
  <dc:creator>openpyxl</dc:creator>
  <dc:description/>
  <dc:language>en-US</dc:language>
  <cp:lastModifiedBy/>
  <dcterms:modified xsi:type="dcterms:W3CDTF">2026-10-04T15:02:05Z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